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要" sheetId="1" state="visible" r:id="rId1"/>
    <sheet name="授業一覧" sheetId="2" state="visible" r:id="rId2"/>
    <sheet name="テスト" sheetId="3" state="visible" r:id="rId3"/>
    <sheet name="本時案（６月12日）" sheetId="4" state="visible" r:id="rId4"/>
    <sheet name="凡例・注記" sheetId="5" state="visible" r:id="rId5"/>
  </sheets>
  <definedNames>
    <definedName name="_xlnm._FilterDatabase" localSheetId="1" hidden="1">'授業一覧'!$A$2:$J$45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Yu Gothic"/>
      <b val="1"/>
      <color rgb="001F3864"/>
      <sz val="14"/>
    </font>
    <font>
      <name val="Yu Gothic"/>
      <color rgb="00555555"/>
      <sz val="10"/>
    </font>
    <font>
      <name val="Yu Gothic"/>
      <color rgb="00555555"/>
      <sz val="9"/>
    </font>
    <font>
      <name val="Yu Gothic"/>
      <b val="1"/>
      <color rgb="00FFFFFF"/>
      <sz val="10"/>
    </font>
    <font>
      <name val="Yu Gothic"/>
      <sz val="10"/>
    </font>
    <font>
      <name val="Yu Gothic"/>
      <b val="1"/>
      <sz val="10"/>
    </font>
    <font>
      <name val="Yu Gothic"/>
      <b val="1"/>
      <sz val="11"/>
    </font>
    <font>
      <name val="Yu Gothic"/>
      <b val="1"/>
      <color rgb="001F3864"/>
      <sz val="11"/>
    </font>
    <font>
      <name val="Yu Gothic"/>
      <b val="1"/>
      <color rgb="001F3864"/>
      <sz val="13"/>
    </font>
    <font>
      <name val="Yu Gothic"/>
      <sz val="9"/>
    </font>
    <font>
      <name val="Yu Gothic"/>
      <b val="1"/>
      <color rgb="009C3400"/>
      <sz val="9"/>
    </font>
  </fonts>
  <fills count="10">
    <fill>
      <patternFill/>
    </fill>
    <fill>
      <patternFill patternType="gray125"/>
    </fill>
    <fill>
      <patternFill patternType="solid">
        <fgColor rgb="001F3864"/>
      </patternFill>
    </fill>
    <fill>
      <patternFill patternType="solid">
        <fgColor rgb="00EAF3EA"/>
      </patternFill>
    </fill>
    <fill>
      <patternFill patternType="solid">
        <fgColor rgb="00E4F0E8"/>
      </patternFill>
    </fill>
    <fill>
      <patternFill patternType="solid">
        <fgColor rgb="00E8F1F8"/>
      </patternFill>
    </fill>
    <fill>
      <patternFill patternType="solid">
        <fgColor rgb="00FDF0E3"/>
      </patternFill>
    </fill>
    <fill>
      <patternFill patternType="solid">
        <fgColor rgb="00EDE3F5"/>
      </patternFill>
    </fill>
    <fill>
      <patternFill patternType="solid">
        <fgColor rgb="00D9E2F3"/>
      </patternFill>
    </fill>
    <fill>
      <patternFill patternType="solid">
        <fgColor rgb="00FFF2A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4" fillId="2" borderId="1" applyAlignment="1" pivotButton="0" quotePrefix="0" xfId="0">
      <alignment horizontal="center" vertical="center" wrapText="1"/>
    </xf>
    <xf numFmtId="0" fontId="5" fillId="3" borderId="1" applyAlignment="1" pivotButton="0" quotePrefix="0" xfId="0">
      <alignment horizontal="center" vertical="top" wrapText="1"/>
    </xf>
    <xf numFmtId="0" fontId="6" fillId="3"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center" vertical="top" wrapText="1"/>
    </xf>
    <xf numFmtId="0" fontId="6" fillId="4"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top" wrapText="1"/>
    </xf>
    <xf numFmtId="0" fontId="6" fillId="5"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left" vertical="top" wrapText="1"/>
    </xf>
    <xf numFmtId="0" fontId="5" fillId="7" borderId="1" applyAlignment="1" pivotButton="0" quotePrefix="0" xfId="0">
      <alignment horizontal="center" vertical="top" wrapText="1"/>
    </xf>
    <xf numFmtId="0" fontId="6" fillId="7" borderId="1" applyAlignment="1" pivotButton="0" quotePrefix="0" xfId="0">
      <alignment horizontal="left" vertical="top" wrapText="1"/>
    </xf>
    <xf numFmtId="0" fontId="5" fillId="7" borderId="1" applyAlignment="1" pivotButton="0" quotePrefix="0" xfId="0">
      <alignment horizontal="left" vertical="top" wrapText="1"/>
    </xf>
    <xf numFmtId="0" fontId="7" fillId="8" borderId="1" applyAlignment="1" pivotButton="0" quotePrefix="0" xfId="0">
      <alignment horizontal="center" vertical="center"/>
    </xf>
    <xf numFmtId="0" fontId="8" fillId="0" borderId="0" pivotButton="0" quotePrefix="0" xfId="0"/>
    <xf numFmtId="0" fontId="5" fillId="0" borderId="0" applyAlignment="1" pivotButton="0" quotePrefix="0" xfId="0">
      <alignment vertical="center" wrapText="1"/>
    </xf>
    <xf numFmtId="0" fontId="9" fillId="0" borderId="0" pivotButton="0" quotePrefix="0" xfId="0"/>
    <xf numFmtId="0" fontId="10" fillId="3" borderId="1" applyAlignment="1" pivotButton="0" quotePrefix="0" xfId="0">
      <alignment horizontal="center" vertical="top" wrapText="1"/>
    </xf>
    <xf numFmtId="0" fontId="10" fillId="3" borderId="1" applyAlignment="1" pivotButton="0" quotePrefix="0" xfId="0">
      <alignment horizontal="left" vertical="top" wrapText="1"/>
    </xf>
    <xf numFmtId="0" fontId="10" fillId="7" borderId="1" applyAlignment="1" pivotButton="0" quotePrefix="0" xfId="0">
      <alignment horizontal="center" vertical="top" wrapText="1"/>
    </xf>
    <xf numFmtId="0" fontId="10" fillId="7" borderId="1" applyAlignment="1" pivotButton="0" quotePrefix="0" xfId="0">
      <alignment horizontal="left" vertical="top" wrapText="1"/>
    </xf>
    <xf numFmtId="0" fontId="10" fillId="4" borderId="1" applyAlignment="1" pivotButton="0" quotePrefix="0" xfId="0">
      <alignment horizontal="center" vertical="top" wrapText="1"/>
    </xf>
    <xf numFmtId="0" fontId="10" fillId="4" borderId="1" applyAlignment="1" pivotButton="0" quotePrefix="0" xfId="0">
      <alignment horizontal="left" vertical="top" wrapText="1"/>
    </xf>
    <xf numFmtId="0" fontId="10" fillId="5" borderId="1" applyAlignment="1" pivotButton="0" quotePrefix="0" xfId="0">
      <alignment horizontal="center" vertical="top" wrapText="1"/>
    </xf>
    <xf numFmtId="0" fontId="10" fillId="5" borderId="1" applyAlignment="1" pivotButton="0" quotePrefix="0" xfId="0">
      <alignment horizontal="left" vertical="top" wrapText="1"/>
    </xf>
    <xf numFmtId="0" fontId="10" fillId="6" borderId="1" applyAlignment="1" pivotButton="0" quotePrefix="0" xfId="0">
      <alignment horizontal="center" vertical="top" wrapText="1"/>
    </xf>
    <xf numFmtId="0" fontId="10" fillId="6" borderId="1" applyAlignment="1" pivotButton="0" quotePrefix="0" xfId="0">
      <alignment horizontal="left" vertical="top" wrapText="1"/>
    </xf>
    <xf numFmtId="0" fontId="10" fillId="9" borderId="1" applyAlignment="1" pivotButton="0" quotePrefix="0" xfId="0">
      <alignment horizontal="center" vertical="top" wrapText="1"/>
    </xf>
    <xf numFmtId="0" fontId="10" fillId="9" borderId="1" applyAlignment="1" pivotButton="0" quotePrefix="0" xfId="0">
      <alignment horizontal="left" vertical="top" wrapText="1"/>
    </xf>
    <xf numFmtId="0" fontId="11" fillId="9" borderId="1" applyAlignment="1" pivotButton="0" quotePrefix="0" xfId="0">
      <alignment horizontal="left" vertical="top" wrapText="1"/>
    </xf>
    <xf numFmtId="0" fontId="7" fillId="8" borderId="1" applyAlignment="1" pivotButton="0" quotePrefix="0" xfId="0">
      <alignment horizontal="left" vertical="center"/>
    </xf>
    <xf numFmtId="0" fontId="3" fillId="0" borderId="0" pivotButton="0" quotePrefix="0" xfId="0"/>
    <xf numFmtId="0" fontId="6" fillId="8" borderId="1" applyAlignment="1" pivotButton="0" quotePrefix="0" xfId="0">
      <alignment horizontal="center" vertical="center"/>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8" defaultRowHeight="15"/>
  <cols>
    <col width="6" customWidth="1" min="1" max="1"/>
    <col width="34" customWidth="1" min="2" max="2"/>
    <col width="10" customWidth="1" min="3" max="3"/>
    <col width="12" customWidth="1" min="4" max="4"/>
    <col width="62" customWidth="1" min="5" max="5"/>
    <col width="16" customWidth="1" min="6" max="6"/>
  </cols>
  <sheetData>
    <row r="1">
      <c r="A1" s="1" t="inlineStr">
        <is>
          <t>令和８年度　中学校社会科　第２学年　授業時数計画</t>
        </is>
      </c>
    </row>
    <row r="2">
      <c r="A2" s="2" t="inlineStr">
        <is>
          <t>指導者　吉田　雅風　／　第２学年Ａ組　33名</t>
        </is>
      </c>
    </row>
    <row r="3" ht="28" customHeight="1">
      <c r="A3" s="3" t="inlineStr">
        <is>
          <t>実施済み時数の実績に基づく一覧（４月〜７月　計43時間）。オリエンテーション３時間，単元１「身近な地域の調査」６時間を含む。各単元に振り返り１時間・単元テスト１時間を位置付けた。</t>
        </is>
      </c>
    </row>
    <row r="5" ht="32" customHeight="1">
      <c r="A5" s="4" t="inlineStr">
        <is>
          <t>No.</t>
        </is>
      </c>
      <c r="B5" s="4" t="inlineStr">
        <is>
          <t>単元名・区分</t>
        </is>
      </c>
      <c r="C5" s="4" t="inlineStr">
        <is>
          <t>時数</t>
        </is>
      </c>
      <c r="D5" s="4" t="inlineStr">
        <is>
          <t>実施時期</t>
        </is>
      </c>
      <c r="E5" s="4" t="inlineStr">
        <is>
          <t>単元の目標</t>
        </is>
      </c>
      <c r="F5" s="4" t="inlineStr">
        <is>
          <t>評価の観点</t>
        </is>
      </c>
    </row>
    <row r="6" ht="62" customHeight="1">
      <c r="A6" s="5" t="inlineStr">
        <is>
          <t>－</t>
        </is>
      </c>
      <c r="B6" s="6" t="inlineStr">
        <is>
          <t>オリエンテーション</t>
        </is>
      </c>
      <c r="C6" s="5">
        <f>COUNTIF(授業一覧!$D$3:$D$45,$B6)</f>
        <v>3</v>
      </c>
      <c r="D6" s="5" t="inlineStr">
        <is>
          <t>4月</t>
        </is>
      </c>
      <c r="E6" s="7" t="inlineStr">
        <is>
          <t>第２学年の社会科の学習の見通しをもち，社会的事象を多面的・多角的に考察する学び方と，評価の観点・方法を理解する。（３時間）</t>
        </is>
      </c>
      <c r="F6" s="5" t="inlineStr">
        <is>
          <t>思・態</t>
        </is>
      </c>
    </row>
    <row r="7" ht="62" customHeight="1">
      <c r="A7" s="8" t="n">
        <v>1</v>
      </c>
      <c r="B7" s="9" t="inlineStr">
        <is>
          <t>単元１　身近な地域の調査</t>
        </is>
      </c>
      <c r="C7" s="8">
        <f>COUNTIF(授業一覧!$D$3:$D$45,$B7)</f>
        <v>8</v>
      </c>
      <c r="D7" s="8" t="inlineStr">
        <is>
          <t>4月〜5月</t>
        </is>
      </c>
      <c r="E7" s="10" t="inlineStr">
        <is>
          <t>身近な地域の調査を通して，地域的特色や課題を，地形図や統計などの資料を活用して捉え，地域の在り方について考察し，表現することができる。（調査６時間＋振り返り１＋単元テスト１）</t>
        </is>
      </c>
      <c r="F7" s="8" t="inlineStr">
        <is>
          <t>知・思・態</t>
        </is>
      </c>
    </row>
    <row r="8" ht="62" customHeight="1">
      <c r="A8" s="11" t="n">
        <v>2</v>
      </c>
      <c r="B8" s="12" t="inlineStr">
        <is>
          <t>単元２　ヨーロッパ人との出会いと全国統一</t>
        </is>
      </c>
      <c r="C8" s="11">
        <f>COUNTIF(授業一覧!$D$3:$D$45,$B8)</f>
        <v>10</v>
      </c>
      <c r="D8" s="11" t="inlineStr">
        <is>
          <t>5月</t>
        </is>
      </c>
      <c r="E8" s="13" t="inlineStr">
        <is>
          <t>ヨーロッパ人の来航と全国統一の動きを基に，世界の動きと日本の統一事業との関わりについて，多面的・多角的に考察し，表現することができる。（８時間＋振り返り１＋単元テスト１）</t>
        </is>
      </c>
      <c r="F8" s="11" t="inlineStr">
        <is>
          <t>知・思・態</t>
        </is>
      </c>
    </row>
    <row r="9" ht="62" customHeight="1">
      <c r="A9" s="14" t="n">
        <v>3</v>
      </c>
      <c r="B9" s="15" t="inlineStr">
        <is>
          <t>単元３　江戸幕府の功罪</t>
        </is>
      </c>
      <c r="C9" s="14">
        <f>COUNTIF(授業一覧!$D$3:$D$45,$B9)</f>
        <v>20</v>
      </c>
      <c r="D9" s="14" t="inlineStr">
        <is>
          <t>6月〜7月</t>
        </is>
      </c>
      <c r="E9" s="16" t="inlineStr">
        <is>
          <t>江戸時代の社会の変化を基に，幕府の政策に着目して，江戸幕府が社会に与えた影響について，多面的・多角的に考察し，表現することができる。（18時間＋振り返り１＋単元テスト１）</t>
        </is>
      </c>
      <c r="F9" s="14" t="inlineStr">
        <is>
          <t>知・思・態</t>
        </is>
      </c>
    </row>
    <row r="10" ht="62" customHeight="1">
      <c r="A10" s="17" t="inlineStr">
        <is>
          <t>－</t>
        </is>
      </c>
      <c r="B10" s="18" t="inlineStr">
        <is>
          <t>（単元外）テスト</t>
        </is>
      </c>
      <c r="C10" s="17">
        <f>COUNTIF(授業一覧!$D$3:$D$45,$B10)</f>
        <v>2</v>
      </c>
      <c r="D10" s="17" t="inlineStr">
        <is>
          <t>4月・6月</t>
        </is>
      </c>
      <c r="E10" s="19" t="inlineStr">
        <is>
          <t>学力テスト（１時間）および定着度診断テスト（１時間）。単元の指導計画には含まないが，実施時数には計上。詳細は「テスト」シート参照。</t>
        </is>
      </c>
      <c r="F10" s="17" t="inlineStr">
        <is>
          <t>知・思</t>
        </is>
      </c>
    </row>
    <row r="11" ht="22" customHeight="1">
      <c r="A11" s="20" t="n"/>
      <c r="B11" s="20" t="inlineStr">
        <is>
          <t>合　計</t>
        </is>
      </c>
      <c r="C11" s="20">
        <f>SUM(C6:C10)</f>
        <v>43</v>
      </c>
      <c r="D11" s="20" t="inlineStr">
        <is>
          <t>4月〜7月</t>
        </is>
      </c>
      <c r="E11" s="20" t="n"/>
      <c r="F11" s="20" t="n"/>
    </row>
    <row r="13">
      <c r="A13" s="21" t="inlineStr">
        <is>
          <t>単元３「江戸幕府の功罪」の評価規準（学習指導案より）</t>
        </is>
      </c>
    </row>
    <row r="14" ht="30" customHeight="1">
      <c r="A14" s="22" t="inlineStr">
        <is>
          <t>〇江戸時代において，幕藩体制の成立や産業・文化の発展，社会の変化について理解している。【知識・技能】</t>
        </is>
      </c>
    </row>
    <row r="15" ht="30" customHeight="1">
      <c r="A15" s="22" t="inlineStr">
        <is>
          <t>〇江戸時代における幕府の政策や社会の変化について多面的・多角的に考察し，江戸幕府の功罪について根拠を基に判断し，表現している。【思考・判断・表現】</t>
        </is>
      </c>
    </row>
    <row r="16" ht="30" customHeight="1">
      <c r="A16" s="22" t="inlineStr">
        <is>
          <t>〇江戸時代における幕政について，「よりよい」社会の実現を視野に，社会に与えた影響や課題を主体的に追究しようとしている。【主体的に学習に取り組む態度】</t>
        </is>
      </c>
    </row>
    <row r="18">
      <c r="A18" s="21" t="inlineStr">
        <is>
          <t>指導の工夫（学習指導案より）</t>
        </is>
      </c>
    </row>
    <row r="19" ht="30" customHeight="1">
      <c r="A19" s="22" t="inlineStr">
        <is>
          <t>〔工夫①〕価値判断をせまる問い … 原因や背景を問うだけでなく，価値判断を迫る問いを単元の中核に位置付け，生徒が社会の「当事者」として立場を形成できるようにする。</t>
        </is>
      </c>
    </row>
    <row r="20" ht="30" customHeight="1">
      <c r="A20" s="22" t="inlineStr">
        <is>
          <t>〔工夫②〕価値判断を練り上げる指導過程 …「基礎的事実の理解」→「制度や構造の分析」→「価値の対立の把握」→「根拠に基づく判断」→「対話による再検討」の過程を単元に位置付ける。</t>
        </is>
      </c>
    </row>
  </sheetData>
  <mergeCells count="6">
    <mergeCell ref="A16:F16"/>
    <mergeCell ref="A19:F19"/>
    <mergeCell ref="A14:F14"/>
    <mergeCell ref="A3:F3"/>
    <mergeCell ref="A20:F20"/>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
  <sheetViews>
    <sheetView workbookViewId="0">
      <pane ySplit="2" topLeftCell="A3" activePane="bottomLeft" state="frozen"/>
      <selection pane="bottomLeft" activeCell="A1" sqref="A1"/>
    </sheetView>
  </sheetViews>
  <sheetFormatPr baseColWidth="8" defaultRowHeight="15"/>
  <cols>
    <col width="7" customWidth="1" min="1" max="1"/>
    <col width="8" customWidth="1" min="2" max="2"/>
    <col width="8" customWidth="1" min="3" max="3"/>
    <col width="30" customWidth="1" min="4" max="4"/>
    <col width="7" customWidth="1" min="5" max="5"/>
    <col width="40" customWidth="1" min="6" max="6"/>
    <col width="62" customWidth="1" min="7" max="7"/>
    <col width="11" customWidth="1" min="8" max="8"/>
    <col width="14" customWidth="1" min="9" max="9"/>
    <col width="30" customWidth="1" min="10" max="10"/>
  </cols>
  <sheetData>
    <row r="1" ht="24" customHeight="1">
      <c r="A1" s="23" t="inlineStr">
        <is>
          <t>授業一覧（毎時）　全43時間　─　令和８年度　第２学年　社会科</t>
        </is>
      </c>
    </row>
    <row r="2" ht="32" customHeight="1">
      <c r="A2" s="4" t="inlineStr">
        <is>
          <t>通し
時数</t>
        </is>
      </c>
      <c r="B2" s="4" t="inlineStr">
        <is>
          <t>実施月</t>
        </is>
      </c>
      <c r="C2" s="4" t="inlineStr">
        <is>
          <t>区分</t>
        </is>
      </c>
      <c r="D2" s="4" t="inlineStr">
        <is>
          <t>単元名</t>
        </is>
      </c>
      <c r="E2" s="4" t="inlineStr">
        <is>
          <t>単元内
時数</t>
        </is>
      </c>
      <c r="F2" s="4" t="inlineStr">
        <is>
          <t>学習内容（毎時の主題）</t>
        </is>
      </c>
      <c r="G2" s="4" t="inlineStr">
        <is>
          <t>主な学習活動</t>
        </is>
      </c>
      <c r="H2" s="4" t="inlineStr">
        <is>
          <t>評価の
観点</t>
        </is>
      </c>
      <c r="I2" s="4" t="inlineStr">
        <is>
          <t>指導案との対応</t>
        </is>
      </c>
      <c r="J2" s="4" t="inlineStr">
        <is>
          <t>備考</t>
        </is>
      </c>
    </row>
    <row r="3" ht="48" customHeight="1">
      <c r="A3" s="24" t="n">
        <v>1</v>
      </c>
      <c r="B3" s="24" t="inlineStr">
        <is>
          <t>4月</t>
        </is>
      </c>
      <c r="C3" s="24" t="inlineStr">
        <is>
          <t>オリエン</t>
        </is>
      </c>
      <c r="D3" s="25" t="inlineStr">
        <is>
          <t>オリエンテーション</t>
        </is>
      </c>
      <c r="E3" s="24" t="n">
        <v>1</v>
      </c>
      <c r="F3" s="25" t="inlineStr">
        <is>
          <t>第２学年の社会科の学習の見通しをもつ</t>
        </is>
      </c>
      <c r="G3" s="25" t="inlineStr">
        <is>
          <t>第１学年の学習を振り返り，第２学年で学ぶ内容（地理的分野・歴史的分野）の全体像をつかむ。年間の学習の流れと，身に付けたい力を確認する。</t>
        </is>
      </c>
      <c r="H3" s="24" t="inlineStr">
        <is>
          <t>態</t>
        </is>
      </c>
      <c r="I3" s="25" t="inlineStr">
        <is>
          <t>－</t>
        </is>
      </c>
      <c r="J3" s="25" t="inlineStr"/>
    </row>
    <row r="4" ht="48" customHeight="1">
      <c r="A4" s="24" t="n">
        <v>2</v>
      </c>
      <c r="B4" s="24" t="inlineStr">
        <is>
          <t>4月</t>
        </is>
      </c>
      <c r="C4" s="24" t="inlineStr">
        <is>
          <t>オリエン</t>
        </is>
      </c>
      <c r="D4" s="25" t="inlineStr">
        <is>
          <t>オリエンテーション</t>
        </is>
      </c>
      <c r="E4" s="24" t="n">
        <v>2</v>
      </c>
      <c r="F4" s="25" t="inlineStr">
        <is>
          <t>社会科の見方・考え方 ─ 多面的・多角的に考えるとは</t>
        </is>
      </c>
      <c r="G4" s="25" t="inlineStr">
        <is>
          <t>身近な話題を例に，一つの事象を立場や視点を変えて捉える活動を行う。「多面的・多角的に考察する」とはどういうことかを共有する。</t>
        </is>
      </c>
      <c r="H4" s="24" t="inlineStr">
        <is>
          <t>思　態</t>
        </is>
      </c>
      <c r="I4" s="25" t="inlineStr">
        <is>
          <t>－</t>
        </is>
      </c>
      <c r="J4" s="25" t="inlineStr"/>
    </row>
    <row r="5" ht="48" customHeight="1">
      <c r="A5" s="24" t="n">
        <v>3</v>
      </c>
      <c r="B5" s="24" t="inlineStr">
        <is>
          <t>4月</t>
        </is>
      </c>
      <c r="C5" s="24" t="inlineStr">
        <is>
          <t>オリエン</t>
        </is>
      </c>
      <c r="D5" s="25" t="inlineStr">
        <is>
          <t>オリエンテーション</t>
        </is>
      </c>
      <c r="E5" s="24" t="n">
        <v>3</v>
      </c>
      <c r="F5" s="25" t="inlineStr">
        <is>
          <t>学び方と評価の確認 ─ 単元シート・ノートの使い方</t>
        </is>
      </c>
      <c r="G5" s="25" t="inlineStr">
        <is>
          <t>単元シートの書き方，話合いの進め方，評価の観点（知識・技能／思考・判断・表現／主体的に学習に取り組む態度）と評価方法を確認する。</t>
        </is>
      </c>
      <c r="H5" s="24" t="inlineStr">
        <is>
          <t>態</t>
        </is>
      </c>
      <c r="I5" s="25" t="inlineStr">
        <is>
          <t>－</t>
        </is>
      </c>
      <c r="J5" s="25" t="inlineStr"/>
    </row>
    <row r="6" ht="48" customHeight="1">
      <c r="A6" s="26" t="n">
        <v>4</v>
      </c>
      <c r="B6" s="26" t="inlineStr">
        <is>
          <t>4月</t>
        </is>
      </c>
      <c r="C6" s="26" t="inlineStr">
        <is>
          <t>テスト</t>
        </is>
      </c>
      <c r="D6" s="27" t="inlineStr">
        <is>
          <t>（単元外）テスト</t>
        </is>
      </c>
      <c r="E6" s="26" t="inlineStr">
        <is>
          <t>－</t>
        </is>
      </c>
      <c r="F6" s="27" t="inlineStr">
        <is>
          <t>学力テスト</t>
        </is>
      </c>
      <c r="G6" s="27" t="inlineStr">
        <is>
          <t>年度当初に実施し，生徒の学力の実態を把握する。第１学年の既習事項の定着状況を確認し，本年度の学習の見通しをもたせる。</t>
        </is>
      </c>
      <c r="H6" s="26" t="inlineStr">
        <is>
          <t>知　思</t>
        </is>
      </c>
      <c r="I6" s="27" t="inlineStr">
        <is>
          <t>－</t>
        </is>
      </c>
      <c r="J6" s="27" t="inlineStr">
        <is>
          <t>単元には含まないが実施時数には計上</t>
        </is>
      </c>
    </row>
    <row r="7" ht="48" customHeight="1">
      <c r="A7" s="28" t="n">
        <v>5</v>
      </c>
      <c r="B7" s="28" t="inlineStr">
        <is>
          <t>4月</t>
        </is>
      </c>
      <c r="C7" s="28" t="inlineStr">
        <is>
          <t>単元</t>
        </is>
      </c>
      <c r="D7" s="29" t="inlineStr">
        <is>
          <t>単元１　身近な地域の調査</t>
        </is>
      </c>
      <c r="E7" s="28" t="n">
        <v>1</v>
      </c>
      <c r="F7" s="29" t="inlineStr">
        <is>
          <t>身近な地域の調査とは ─ 単元の課題設定</t>
        </is>
      </c>
      <c r="G7" s="29" t="inlineStr">
        <is>
          <t>身近な地域の様子を写真や統計から見つめ直し，疑問を出し合う。単元の課題「わたしたちの地域には，どのような課題があるのだろう」を設定する。</t>
        </is>
      </c>
      <c r="H7" s="28" t="inlineStr">
        <is>
          <t>思　態</t>
        </is>
      </c>
      <c r="I7" s="29" t="inlineStr">
        <is>
          <t>－</t>
        </is>
      </c>
      <c r="J7" s="29" t="inlineStr"/>
    </row>
    <row r="8" ht="48" customHeight="1">
      <c r="A8" s="28" t="n">
        <v>6</v>
      </c>
      <c r="B8" s="28" t="inlineStr">
        <is>
          <t>4月</t>
        </is>
      </c>
      <c r="C8" s="28" t="inlineStr">
        <is>
          <t>単元</t>
        </is>
      </c>
      <c r="D8" s="29" t="inlineStr">
        <is>
          <t>単元１　身近な地域の調査</t>
        </is>
      </c>
      <c r="E8" s="28" t="n">
        <v>2</v>
      </c>
      <c r="F8" s="29" t="inlineStr">
        <is>
          <t>地形図の読み取りと地域の概観</t>
        </is>
      </c>
      <c r="G8" s="29" t="inlineStr">
        <is>
          <t>２万５千分の１地形図を用いて，地図記号・縮尺・等高線を読み取る。土地利用の特色と地形との関係を捉える。</t>
        </is>
      </c>
      <c r="H8" s="28" t="inlineStr">
        <is>
          <t>知</t>
        </is>
      </c>
      <c r="I8" s="29" t="inlineStr">
        <is>
          <t>－</t>
        </is>
      </c>
      <c r="J8" s="29" t="inlineStr"/>
    </row>
    <row r="9" ht="48" customHeight="1">
      <c r="A9" s="28" t="n">
        <v>7</v>
      </c>
      <c r="B9" s="28" t="inlineStr">
        <is>
          <t>4月</t>
        </is>
      </c>
      <c r="C9" s="28" t="inlineStr">
        <is>
          <t>単元</t>
        </is>
      </c>
      <c r="D9" s="29" t="inlineStr">
        <is>
          <t>単元１　身近な地域の調査</t>
        </is>
      </c>
      <c r="E9" s="28" t="n">
        <v>3</v>
      </c>
      <c r="F9" s="29" t="inlineStr">
        <is>
          <t>調査計画を立てる ─ 調査テーマと方法の決定</t>
        </is>
      </c>
      <c r="G9" s="29" t="inlineStr">
        <is>
          <t>調査テーマ（土地利用・交通・人口・産業・防災など）を班ごとに決め，野外観察・聞き取り・文献・統計のどの方法を用いるか計画する。</t>
        </is>
      </c>
      <c r="H9" s="28" t="inlineStr">
        <is>
          <t>思　態</t>
        </is>
      </c>
      <c r="I9" s="29" t="inlineStr">
        <is>
          <t>－</t>
        </is>
      </c>
      <c r="J9" s="29" t="inlineStr"/>
    </row>
    <row r="10" ht="48" customHeight="1">
      <c r="A10" s="28" t="n">
        <v>8</v>
      </c>
      <c r="B10" s="28" t="inlineStr">
        <is>
          <t>4月</t>
        </is>
      </c>
      <c r="C10" s="28" t="inlineStr">
        <is>
          <t>単元</t>
        </is>
      </c>
      <c r="D10" s="29" t="inlineStr">
        <is>
          <t>単元１　身近な地域の調査</t>
        </is>
      </c>
      <c r="E10" s="28" t="n">
        <v>4</v>
      </c>
      <c r="F10" s="29" t="inlineStr">
        <is>
          <t>野外調査（フィールドワーク）</t>
        </is>
      </c>
      <c r="G10" s="29" t="inlineStr">
        <is>
          <t>計画に基づいて地域を歩き，ルートマップに記録する。写真撮影や聞き取りを行い，事実を収集する。</t>
        </is>
      </c>
      <c r="H10" s="28" t="inlineStr">
        <is>
          <t>知　思</t>
        </is>
      </c>
      <c r="I10" s="29" t="inlineStr">
        <is>
          <t>－</t>
        </is>
      </c>
      <c r="J10" s="29" t="inlineStr"/>
    </row>
    <row r="11" ht="48" customHeight="1">
      <c r="A11" s="28" t="n">
        <v>9</v>
      </c>
      <c r="B11" s="28" t="inlineStr">
        <is>
          <t>4月</t>
        </is>
      </c>
      <c r="C11" s="28" t="inlineStr">
        <is>
          <t>単元</t>
        </is>
      </c>
      <c r="D11" s="29" t="inlineStr">
        <is>
          <t>単元１　身近な地域の調査</t>
        </is>
      </c>
      <c r="E11" s="28" t="n">
        <v>5</v>
      </c>
      <c r="F11" s="29" t="inlineStr">
        <is>
          <t>調査結果の整理と分析</t>
        </is>
      </c>
      <c r="G11" s="29" t="inlineStr">
        <is>
          <t>収集した情報を主題図・グラフ・表に整理する。統計資料と重ね合わせ，地域の特色と課題を読み取る。</t>
        </is>
      </c>
      <c r="H11" s="28" t="inlineStr">
        <is>
          <t>知　思</t>
        </is>
      </c>
      <c r="I11" s="29" t="inlineStr">
        <is>
          <t>－</t>
        </is>
      </c>
      <c r="J11" s="29" t="inlineStr"/>
    </row>
    <row r="12" ht="48" customHeight="1">
      <c r="A12" s="28" t="n">
        <v>10</v>
      </c>
      <c r="B12" s="28" t="inlineStr">
        <is>
          <t>4月</t>
        </is>
      </c>
      <c r="C12" s="28" t="inlineStr">
        <is>
          <t>単元</t>
        </is>
      </c>
      <c r="D12" s="29" t="inlineStr">
        <is>
          <t>単元１　身近な地域の調査</t>
        </is>
      </c>
      <c r="E12" s="28" t="n">
        <v>6</v>
      </c>
      <c r="F12" s="29" t="inlineStr">
        <is>
          <t>調査結果の発表と地域の在り方の考察</t>
        </is>
      </c>
      <c r="G12" s="29" t="inlineStr">
        <is>
          <t>班ごとに調査結果を発表し，相互に質問・助言する。地域の課題の解決に向けて，自分たちに何ができるかを考察し，提案としてまとめる。</t>
        </is>
      </c>
      <c r="H12" s="28" t="inlineStr">
        <is>
          <t>思　態</t>
        </is>
      </c>
      <c r="I12" s="29" t="inlineStr">
        <is>
          <t>－</t>
        </is>
      </c>
      <c r="J12" s="29" t="inlineStr"/>
    </row>
    <row r="13" ht="48" customHeight="1">
      <c r="A13" s="28" t="n">
        <v>11</v>
      </c>
      <c r="B13" s="28" t="inlineStr">
        <is>
          <t>5月</t>
        </is>
      </c>
      <c r="C13" s="28" t="inlineStr">
        <is>
          <t>単元</t>
        </is>
      </c>
      <c r="D13" s="29" t="inlineStr">
        <is>
          <t>単元１　身近な地域の調査</t>
        </is>
      </c>
      <c r="E13" s="28" t="n">
        <v>7</v>
      </c>
      <c r="F13" s="29" t="inlineStr">
        <is>
          <t>単元の振り返り</t>
        </is>
      </c>
      <c r="G13" s="29" t="inlineStr">
        <is>
          <t>単元の課題に対する自分の考えの変化を単元シートに書き，交流する。学習の成果と課題を自己評価する。</t>
        </is>
      </c>
      <c r="H13" s="28" t="inlineStr">
        <is>
          <t>態</t>
        </is>
      </c>
      <c r="I13" s="29" t="inlineStr">
        <is>
          <t>－</t>
        </is>
      </c>
      <c r="J13" s="29" t="inlineStr">
        <is>
          <t>各単元１時間ずつ設定</t>
        </is>
      </c>
    </row>
    <row r="14" ht="48" customHeight="1">
      <c r="A14" s="28" t="n">
        <v>12</v>
      </c>
      <c r="B14" s="28" t="inlineStr">
        <is>
          <t>5月</t>
        </is>
      </c>
      <c r="C14" s="28" t="inlineStr">
        <is>
          <t>単元</t>
        </is>
      </c>
      <c r="D14" s="29" t="inlineStr">
        <is>
          <t>単元１　身近な地域の調査</t>
        </is>
      </c>
      <c r="E14" s="28" t="n">
        <v>8</v>
      </c>
      <c r="F14" s="29" t="inlineStr">
        <is>
          <t>単元テスト</t>
        </is>
      </c>
      <c r="G14" s="29" t="inlineStr">
        <is>
          <t>単元１の学習内容について，地形図の読み取りなどの知識・技能と，地域の課題についての多面的・多角的な考察・表現をみる。</t>
        </is>
      </c>
      <c r="H14" s="28" t="inlineStr">
        <is>
          <t>知　思</t>
        </is>
      </c>
      <c r="I14" s="29" t="inlineStr">
        <is>
          <t>－</t>
        </is>
      </c>
      <c r="J14" s="29" t="inlineStr">
        <is>
          <t>各単元１時間ずつ設定</t>
        </is>
      </c>
    </row>
    <row r="15" ht="48" customHeight="1">
      <c r="A15" s="30" t="n">
        <v>13</v>
      </c>
      <c r="B15" s="30" t="inlineStr">
        <is>
          <t>5月</t>
        </is>
      </c>
      <c r="C15" s="30" t="inlineStr">
        <is>
          <t>単元</t>
        </is>
      </c>
      <c r="D15" s="31" t="inlineStr">
        <is>
          <t>単元２　ヨーロッパ人との出会いと全国統一</t>
        </is>
      </c>
      <c r="E15" s="30" t="n">
        <v>1</v>
      </c>
      <c r="F15" s="31" t="inlineStr">
        <is>
          <t>中世から近世へ ─ 単元の課題設定</t>
        </is>
      </c>
      <c r="G15" s="31" t="inlineStr">
        <is>
          <t>中世の学習を振り返り，世界と日本のつながりの変化に気付く。単元の課題「世界の動きは，日本の統一をどう変えたのか」を設定する。</t>
        </is>
      </c>
      <c r="H15" s="30" t="inlineStr">
        <is>
          <t>思　態</t>
        </is>
      </c>
      <c r="I15" s="31" t="inlineStr">
        <is>
          <t>－</t>
        </is>
      </c>
      <c r="J15" s="31" t="inlineStr"/>
    </row>
    <row r="16" ht="48" customHeight="1">
      <c r="A16" s="30" t="n">
        <v>14</v>
      </c>
      <c r="B16" s="30" t="inlineStr">
        <is>
          <t>5月</t>
        </is>
      </c>
      <c r="C16" s="30" t="inlineStr">
        <is>
          <t>単元</t>
        </is>
      </c>
      <c r="D16" s="31" t="inlineStr">
        <is>
          <t>単元２　ヨーロッパ人との出会いと全国統一</t>
        </is>
      </c>
      <c r="E16" s="30" t="n">
        <v>2</v>
      </c>
      <c r="F16" s="31" t="inlineStr">
        <is>
          <t>ヨーロッパ世界の拡大 ─ ルネサンスと宗教改革</t>
        </is>
      </c>
      <c r="G16" s="31" t="inlineStr">
        <is>
          <t>ルネサンスの人間中心の考え方と科学・技術の発達，宗教改革とイエズス会の海外布教を調べ，のちの日本との接触につながることをつかむ。</t>
        </is>
      </c>
      <c r="H16" s="30" t="inlineStr">
        <is>
          <t>知　思</t>
        </is>
      </c>
      <c r="I16" s="31" t="inlineStr">
        <is>
          <t>－</t>
        </is>
      </c>
      <c r="J16" s="31" t="inlineStr"/>
    </row>
    <row r="17" ht="48" customHeight="1">
      <c r="A17" s="30" t="n">
        <v>15</v>
      </c>
      <c r="B17" s="30" t="inlineStr">
        <is>
          <t>5月</t>
        </is>
      </c>
      <c r="C17" s="30" t="inlineStr">
        <is>
          <t>単元</t>
        </is>
      </c>
      <c r="D17" s="31" t="inlineStr">
        <is>
          <t>単元２　ヨーロッパ人との出会いと全国統一</t>
        </is>
      </c>
      <c r="E17" s="30" t="n">
        <v>3</v>
      </c>
      <c r="F17" s="31" t="inlineStr">
        <is>
          <t>大航海時代と新航路の開拓</t>
        </is>
      </c>
      <c r="G17" s="31" t="inlineStr">
        <is>
          <t>コロンブス，バスコ・ダ・ガマ，マゼランの航路を地図で確認し，新航路開拓の動機と，世界の一体化がもたらした光と影を考察する。</t>
        </is>
      </c>
      <c r="H17" s="30" t="inlineStr">
        <is>
          <t>知　思</t>
        </is>
      </c>
      <c r="I17" s="31" t="inlineStr">
        <is>
          <t>－</t>
        </is>
      </c>
      <c r="J17" s="31" t="inlineStr"/>
    </row>
    <row r="18" ht="48" customHeight="1">
      <c r="A18" s="30" t="n">
        <v>16</v>
      </c>
      <c r="B18" s="30" t="inlineStr">
        <is>
          <t>5月</t>
        </is>
      </c>
      <c r="C18" s="30" t="inlineStr">
        <is>
          <t>単元</t>
        </is>
      </c>
      <c r="D18" s="31" t="inlineStr">
        <is>
          <t>単元２　ヨーロッパ人との出会いと全国統一</t>
        </is>
      </c>
      <c r="E18" s="30" t="n">
        <v>4</v>
      </c>
      <c r="F18" s="31" t="inlineStr">
        <is>
          <t>ヨーロッパ人の来航 ─ 鉄砲・キリスト教の伝来と南蛮貿易</t>
        </is>
      </c>
      <c r="G18" s="31" t="inlineStr">
        <is>
          <t>鉄砲伝来による戦い方の変化，ザビエルの来日とキリスト教の広がり，南蛮貿易の内容を調べ，日本社会に与えた影響を考察する。</t>
        </is>
      </c>
      <c r="H18" s="30" t="inlineStr">
        <is>
          <t>知　思</t>
        </is>
      </c>
      <c r="I18" s="31" t="inlineStr">
        <is>
          <t>－</t>
        </is>
      </c>
      <c r="J18" s="31" t="inlineStr"/>
    </row>
    <row r="19" ht="48" customHeight="1">
      <c r="A19" s="30" t="n">
        <v>17</v>
      </c>
      <c r="B19" s="30" t="inlineStr">
        <is>
          <t>5月</t>
        </is>
      </c>
      <c r="C19" s="30" t="inlineStr">
        <is>
          <t>単元</t>
        </is>
      </c>
      <c r="D19" s="31" t="inlineStr">
        <is>
          <t>単元２　ヨーロッパ人との出会いと全国統一</t>
        </is>
      </c>
      <c r="E19" s="30" t="n">
        <v>5</v>
      </c>
      <c r="F19" s="31" t="inlineStr">
        <is>
          <t>織田信長の統一事業</t>
        </is>
      </c>
      <c r="G19" s="31" t="inlineStr">
        <is>
          <t>戦国大名の分国支配を確認したうえで，桶狭間から「天下布武」までの歩みと，楽市・楽座，宗教統制の政策を統一事業の視点から評価する。</t>
        </is>
      </c>
      <c r="H19" s="30" t="inlineStr">
        <is>
          <t>知　思</t>
        </is>
      </c>
      <c r="I19" s="31" t="inlineStr">
        <is>
          <t>－</t>
        </is>
      </c>
      <c r="J19" s="31" t="inlineStr"/>
    </row>
    <row r="20" ht="48" customHeight="1">
      <c r="A20" s="30" t="n">
        <v>18</v>
      </c>
      <c r="B20" s="30" t="inlineStr">
        <is>
          <t>5月</t>
        </is>
      </c>
      <c r="C20" s="30" t="inlineStr">
        <is>
          <t>単元</t>
        </is>
      </c>
      <c r="D20" s="31" t="inlineStr">
        <is>
          <t>単元２　ヨーロッパ人との出会いと全国統一</t>
        </is>
      </c>
      <c r="E20" s="30" t="n">
        <v>6</v>
      </c>
      <c r="F20" s="31" t="inlineStr">
        <is>
          <t>豊臣秀吉の全国統一 ─ 太閤検地と刀狩</t>
        </is>
      </c>
      <c r="G20" s="31" t="inlineStr">
        <is>
          <t>太閤検地と刀狩の内容を資料から読み取り，兵農分離が身分の区別をどのように固定したのかを考察する。</t>
        </is>
      </c>
      <c r="H20" s="30" t="inlineStr">
        <is>
          <t>知　思</t>
        </is>
      </c>
      <c r="I20" s="31" t="inlineStr">
        <is>
          <t>－</t>
        </is>
      </c>
      <c r="J20" s="31" t="inlineStr"/>
    </row>
    <row r="21" ht="48" customHeight="1">
      <c r="A21" s="30" t="n">
        <v>19</v>
      </c>
      <c r="B21" s="30" t="inlineStr">
        <is>
          <t>5月</t>
        </is>
      </c>
      <c r="C21" s="30" t="inlineStr">
        <is>
          <t>単元</t>
        </is>
      </c>
      <c r="D21" s="31" t="inlineStr">
        <is>
          <t>単元２　ヨーロッパ人との出会いと全国統一</t>
        </is>
      </c>
      <c r="E21" s="30" t="n">
        <v>7</v>
      </c>
      <c r="F21" s="31" t="inlineStr">
        <is>
          <t>秀吉の対外政策と朝鮮侵略</t>
        </is>
      </c>
      <c r="G21" s="31" t="inlineStr">
        <is>
          <t>バテレン追放令と朝鮮侵略の経過を確認し，侵略が日本・朝鮮の双方に与えた影響を多面的・多角的に考察する。</t>
        </is>
      </c>
      <c r="H21" s="30" t="inlineStr">
        <is>
          <t>思　態</t>
        </is>
      </c>
      <c r="I21" s="31" t="inlineStr">
        <is>
          <t>－</t>
        </is>
      </c>
      <c r="J21" s="31" t="inlineStr"/>
    </row>
    <row r="22" ht="48" customHeight="1">
      <c r="A22" s="30" t="n">
        <v>20</v>
      </c>
      <c r="B22" s="30" t="inlineStr">
        <is>
          <t>5月</t>
        </is>
      </c>
      <c r="C22" s="30" t="inlineStr">
        <is>
          <t>単元</t>
        </is>
      </c>
      <c r="D22" s="31" t="inlineStr">
        <is>
          <t>単元２　ヨーロッパ人との出会いと全国統一</t>
        </is>
      </c>
      <c r="E22" s="30" t="n">
        <v>8</v>
      </c>
      <c r="F22" s="31" t="inlineStr">
        <is>
          <t>桃山文化と南蛮文化</t>
        </is>
      </c>
      <c r="G22" s="31" t="inlineStr">
        <is>
          <t>城郭建築，障壁画，茶の湯などを鑑賞し，桃山文化の特色を担い手（大名・豪商）と結び付けて説明する。</t>
        </is>
      </c>
      <c r="H22" s="30" t="inlineStr">
        <is>
          <t>知　思</t>
        </is>
      </c>
      <c r="I22" s="31" t="inlineStr">
        <is>
          <t>－</t>
        </is>
      </c>
      <c r="J22" s="31" t="inlineStr"/>
    </row>
    <row r="23" ht="48" customHeight="1">
      <c r="A23" s="30" t="n">
        <v>21</v>
      </c>
      <c r="B23" s="30" t="inlineStr">
        <is>
          <t>5月</t>
        </is>
      </c>
      <c r="C23" s="30" t="inlineStr">
        <is>
          <t>単元</t>
        </is>
      </c>
      <c r="D23" s="31" t="inlineStr">
        <is>
          <t>単元２　ヨーロッパ人との出会いと全国統一</t>
        </is>
      </c>
      <c r="E23" s="30" t="n">
        <v>9</v>
      </c>
      <c r="F23" s="31" t="inlineStr">
        <is>
          <t>単元の振り返り</t>
        </is>
      </c>
      <c r="G23" s="31" t="inlineStr">
        <is>
          <t>単元の課題に対する自分の考えの変化を単元シートに書き，交流する。学習の成果と課題を自己評価する。</t>
        </is>
      </c>
      <c r="H23" s="30" t="inlineStr">
        <is>
          <t>態</t>
        </is>
      </c>
      <c r="I23" s="31" t="inlineStr">
        <is>
          <t>－</t>
        </is>
      </c>
      <c r="J23" s="31" t="inlineStr">
        <is>
          <t>各単元１時間ずつ設定</t>
        </is>
      </c>
    </row>
    <row r="24" ht="48" customHeight="1">
      <c r="A24" s="30" t="n">
        <v>22</v>
      </c>
      <c r="B24" s="30" t="inlineStr">
        <is>
          <t>6月</t>
        </is>
      </c>
      <c r="C24" s="30" t="inlineStr">
        <is>
          <t>単元</t>
        </is>
      </c>
      <c r="D24" s="31" t="inlineStr">
        <is>
          <t>単元２　ヨーロッパ人との出会いと全国統一</t>
        </is>
      </c>
      <c r="E24" s="30" t="n">
        <v>10</v>
      </c>
      <c r="F24" s="31" t="inlineStr">
        <is>
          <t>単元テスト</t>
        </is>
      </c>
      <c r="G24" s="31" t="inlineStr">
        <is>
          <t>単元２の学習内容について，知識・技能および多面的・多角的な考察・表現をみる。</t>
        </is>
      </c>
      <c r="H24" s="30" t="inlineStr">
        <is>
          <t>知　思</t>
        </is>
      </c>
      <c r="I24" s="31" t="inlineStr">
        <is>
          <t>－</t>
        </is>
      </c>
      <c r="J24" s="31" t="inlineStr">
        <is>
          <t>各単元１時間ずつ設定</t>
        </is>
      </c>
    </row>
    <row r="25" ht="48" customHeight="1">
      <c r="A25" s="26" t="n">
        <v>23</v>
      </c>
      <c r="B25" s="26" t="inlineStr">
        <is>
          <t>6月</t>
        </is>
      </c>
      <c r="C25" s="26" t="inlineStr">
        <is>
          <t>テスト</t>
        </is>
      </c>
      <c r="D25" s="27" t="inlineStr">
        <is>
          <t>（単元外）テスト</t>
        </is>
      </c>
      <c r="E25" s="26" t="inlineStr">
        <is>
          <t>－</t>
        </is>
      </c>
      <c r="F25" s="27" t="inlineStr">
        <is>
          <t>定着度診断テスト</t>
        </is>
      </c>
      <c r="G25" s="27" t="inlineStr">
        <is>
          <t>単元２までの学習の定着度を診断する。誤答の傾向を分析し，単元３「江戸幕府の功罪」の指導に生かす。</t>
        </is>
      </c>
      <c r="H25" s="26" t="inlineStr">
        <is>
          <t>知　思</t>
        </is>
      </c>
      <c r="I25" s="27" t="inlineStr">
        <is>
          <t>－</t>
        </is>
      </c>
      <c r="J25" s="27" t="inlineStr">
        <is>
          <t>単元には含まないが実施時数には計上</t>
        </is>
      </c>
    </row>
    <row r="26" ht="48" customHeight="1">
      <c r="A26" s="32" t="n">
        <v>24</v>
      </c>
      <c r="B26" s="32" t="inlineStr">
        <is>
          <t>6月</t>
        </is>
      </c>
      <c r="C26" s="32" t="inlineStr">
        <is>
          <t>単元</t>
        </is>
      </c>
      <c r="D26" s="33" t="inlineStr">
        <is>
          <t>単元３　江戸幕府の功罪</t>
        </is>
      </c>
      <c r="E26" s="32" t="n">
        <v>1</v>
      </c>
      <c r="F26" s="33" t="inlineStr">
        <is>
          <t>教科書の通読</t>
        </is>
      </c>
      <c r="G26" s="33" t="inlineStr">
        <is>
          <t>近世（江戸時代）の記述を通読し，内容を踏まえて感じたことを交流する。</t>
        </is>
      </c>
      <c r="H26" s="32" t="inlineStr">
        <is>
          <t>思　態</t>
        </is>
      </c>
      <c r="I26" s="33" t="inlineStr">
        <is>
          <t>指導案 １時</t>
        </is>
      </c>
      <c r="J26" s="33" t="inlineStr"/>
    </row>
    <row r="27" ht="48" customHeight="1">
      <c r="A27" s="32" t="n">
        <v>25</v>
      </c>
      <c r="B27" s="32" t="inlineStr">
        <is>
          <t>6月</t>
        </is>
      </c>
      <c r="C27" s="32" t="inlineStr">
        <is>
          <t>単元</t>
        </is>
      </c>
      <c r="D27" s="33" t="inlineStr">
        <is>
          <t>単元３　江戸幕府の功罪</t>
        </is>
      </c>
      <c r="E27" s="32" t="n">
        <v>2</v>
      </c>
      <c r="F27" s="33" t="inlineStr">
        <is>
          <t>単元の課題の提示「江戸時代を学ぶ意義は何だろう」〔工夫①〕</t>
        </is>
      </c>
      <c r="G27" s="33" t="inlineStr">
        <is>
          <t>単元の課題に対し，初発の考えを単元シートに書き，交流する。単元を貫く問いと学習の見通しをもつ。</t>
        </is>
      </c>
      <c r="H27" s="32" t="inlineStr">
        <is>
          <t>思　態</t>
        </is>
      </c>
      <c r="I27" s="33" t="inlineStr">
        <is>
          <t>指導案 １時</t>
        </is>
      </c>
      <c r="J27" s="33" t="inlineStr"/>
    </row>
    <row r="28" ht="48" customHeight="1">
      <c r="A28" s="32" t="n">
        <v>26</v>
      </c>
      <c r="B28" s="32" t="inlineStr">
        <is>
          <t>6月</t>
        </is>
      </c>
      <c r="C28" s="32" t="inlineStr">
        <is>
          <t>単元</t>
        </is>
      </c>
      <c r="D28" s="33" t="inlineStr">
        <is>
          <t>単元３　江戸幕府の功罪</t>
        </is>
      </c>
      <c r="E28" s="32" t="n">
        <v>3</v>
      </c>
      <c r="F28" s="33" t="inlineStr">
        <is>
          <t>「江戸時代（前期）はなぜ『泰平』の時代と言われたのか」─ 江戸幕府の成立</t>
        </is>
      </c>
      <c r="G28" s="33" t="inlineStr">
        <is>
          <t>関ヶ原の戦いから幕府の成立までを整理し，前期を貫く問いを設定する。以後の個人追究の視点を確認する。</t>
        </is>
      </c>
      <c r="H28" s="32" t="inlineStr">
        <is>
          <t>知　思</t>
        </is>
      </c>
      <c r="I28" s="33" t="inlineStr">
        <is>
          <t>指導案 ２〜５時</t>
        </is>
      </c>
      <c r="J28" s="33" t="inlineStr"/>
    </row>
    <row r="29" ht="48" customHeight="1">
      <c r="A29" s="32" t="n">
        <v>27</v>
      </c>
      <c r="B29" s="32" t="inlineStr">
        <is>
          <t>6月</t>
        </is>
      </c>
      <c r="C29" s="32" t="inlineStr">
        <is>
          <t>単元</t>
        </is>
      </c>
      <c r="D29" s="33" t="inlineStr">
        <is>
          <t>単元３　江戸幕府の功罪</t>
        </is>
      </c>
      <c r="E29" s="32" t="n">
        <v>4</v>
      </c>
      <c r="F29" s="33" t="inlineStr">
        <is>
          <t>幕藩体制のしくみと大名統制 ─ 武家諸法度・参勤交代</t>
        </is>
      </c>
      <c r="G29" s="33" t="inlineStr">
        <is>
          <t>親藩・譜代・外様の配置を地図から読み取り，武家諸法度の条文と参勤交代の役割を，統制の成果と負担の両面から考察する。</t>
        </is>
      </c>
      <c r="H29" s="32" t="inlineStr">
        <is>
          <t>知　思</t>
        </is>
      </c>
      <c r="I29" s="33" t="inlineStr">
        <is>
          <t>指導案 ２〜５時</t>
        </is>
      </c>
      <c r="J29" s="33" t="inlineStr"/>
    </row>
    <row r="30" ht="48" customHeight="1">
      <c r="A30" s="32" t="n">
        <v>28</v>
      </c>
      <c r="B30" s="32" t="inlineStr">
        <is>
          <t>6月</t>
        </is>
      </c>
      <c r="C30" s="32" t="inlineStr">
        <is>
          <t>単元</t>
        </is>
      </c>
      <c r="D30" s="33" t="inlineStr">
        <is>
          <t>単元３　江戸幕府の功罪</t>
        </is>
      </c>
      <c r="E30" s="32" t="n">
        <v>5</v>
      </c>
      <c r="F30" s="33" t="inlineStr">
        <is>
          <t>朝廷・寺社の統制と身分制度・人々のくらし</t>
        </is>
      </c>
      <c r="G30" s="33" t="inlineStr">
        <is>
          <t>禁中並公家諸法度や寺請制度，武士・百姓・町人の身分と村・町のしくみを調べ，秩序の維持と人々への制約の両面を捉える。</t>
        </is>
      </c>
      <c r="H30" s="32" t="inlineStr">
        <is>
          <t>知　思</t>
        </is>
      </c>
      <c r="I30" s="33" t="inlineStr">
        <is>
          <t>指導案 ２〜５時</t>
        </is>
      </c>
      <c r="J30" s="33" t="inlineStr"/>
    </row>
    <row r="31" ht="48" customHeight="1">
      <c r="A31" s="32" t="n">
        <v>29</v>
      </c>
      <c r="B31" s="32" t="inlineStr">
        <is>
          <t>6月</t>
        </is>
      </c>
      <c r="C31" s="32" t="inlineStr">
        <is>
          <t>単元</t>
        </is>
      </c>
      <c r="D31" s="33" t="inlineStr">
        <is>
          <t>単元３　江戸幕府の功罪</t>
        </is>
      </c>
      <c r="E31" s="32" t="n">
        <v>6</v>
      </c>
      <c r="F31" s="33" t="inlineStr">
        <is>
          <t>貿易の振興から統制へ ─ 朱印船貿易・禁教・島原天草一揆</t>
        </is>
      </c>
      <c r="G31" s="33" t="inlineStr">
        <is>
          <t>朱印船貿易と日本町の広がり，禁教令の強化と島原・天草一揆の経過を調べ，幕府の対外政策の転換とその影響を考察する。</t>
        </is>
      </c>
      <c r="H31" s="32" t="inlineStr">
        <is>
          <t>知　思</t>
        </is>
      </c>
      <c r="I31" s="33" t="inlineStr">
        <is>
          <t>指導案 ２〜５時</t>
        </is>
      </c>
      <c r="J31" s="33" t="inlineStr"/>
    </row>
    <row r="32" ht="48" customHeight="1">
      <c r="A32" s="34" t="n">
        <v>30</v>
      </c>
      <c r="B32" s="34" t="inlineStr">
        <is>
          <t>6月</t>
        </is>
      </c>
      <c r="C32" s="34" t="inlineStr">
        <is>
          <t>単元</t>
        </is>
      </c>
      <c r="D32" s="35" t="inlineStr">
        <is>
          <t>単元３　江戸幕府の功罪</t>
        </is>
      </c>
      <c r="E32" s="34" t="n">
        <v>7</v>
      </c>
      <c r="F32" s="36" t="inlineStr">
        <is>
          <t>【本時】「江戸時代（前半）は本当に『泰平』だったのか」〔工夫①〕</t>
        </is>
      </c>
      <c r="G32" s="35" t="inlineStr">
        <is>
          <t>「江戸時代の通説」を提示し，問題「江戸時代初期は本当に『泰平』の時代と言えるか」を設定する。個人追究の結果を交流し，班で比較したうえで，自分なりの「通説」を200字以内で書き，立場を形成する。</t>
        </is>
      </c>
      <c r="H32" s="34" t="inlineStr">
        <is>
          <t>知　思　態</t>
        </is>
      </c>
      <c r="I32" s="35" t="inlineStr">
        <is>
          <t>指導案 ４時（本時）</t>
        </is>
      </c>
      <c r="J32" s="35" t="inlineStr">
        <is>
          <t>研究授業　令和８年６月12日（金）　２年Ａ組教室　33名</t>
        </is>
      </c>
    </row>
    <row r="33" ht="48" customHeight="1">
      <c r="A33" s="32" t="n">
        <v>31</v>
      </c>
      <c r="B33" s="32" t="inlineStr">
        <is>
          <t>6月</t>
        </is>
      </c>
      <c r="C33" s="32" t="inlineStr">
        <is>
          <t>単元</t>
        </is>
      </c>
      <c r="D33" s="33" t="inlineStr">
        <is>
          <t>単元３　江戸幕府の功罪</t>
        </is>
      </c>
      <c r="E33" s="32" t="n">
        <v>8</v>
      </c>
      <c r="F33" s="33" t="inlineStr">
        <is>
          <t>「鎖国」と四つの窓口 ─ 前期の功罪の立場形成</t>
        </is>
      </c>
      <c r="G33" s="33" t="inlineStr">
        <is>
          <t>長崎・対馬・薩摩・松前の四つの窓口を整理する。江戸時代前期の江戸幕府の功罪に着目し，根拠を基に自らの立場を形成する。</t>
        </is>
      </c>
      <c r="H33" s="32" t="inlineStr">
        <is>
          <t>思　態</t>
        </is>
      </c>
      <c r="I33" s="33" t="inlineStr">
        <is>
          <t>指導案 ２〜５時</t>
        </is>
      </c>
      <c r="J33" s="33" t="inlineStr"/>
    </row>
    <row r="34" ht="48" customHeight="1">
      <c r="A34" s="32" t="n">
        <v>32</v>
      </c>
      <c r="B34" s="32" t="inlineStr">
        <is>
          <t>6月</t>
        </is>
      </c>
      <c r="C34" s="32" t="inlineStr">
        <is>
          <t>単元</t>
        </is>
      </c>
      <c r="D34" s="33" t="inlineStr">
        <is>
          <t>単元３　江戸幕府の功罪</t>
        </is>
      </c>
      <c r="E34" s="32" t="n">
        <v>9</v>
      </c>
      <c r="F34" s="33" t="inlineStr">
        <is>
          <t>「江戸時代（中期・後期）はなぜ『崩壊』の時代と言われるのか」─ 問いの設定</t>
        </is>
      </c>
      <c r="G34" s="33" t="inlineStr">
        <is>
          <t>前期の学習を踏まえ，中期・後期を貫く問いを設定する。年表から社会の変化の大きさをつかみ，追究の見通しをもつ。</t>
        </is>
      </c>
      <c r="H34" s="32" t="inlineStr">
        <is>
          <t>思　態</t>
        </is>
      </c>
      <c r="I34" s="33" t="inlineStr">
        <is>
          <t>指導案 ６〜10時</t>
        </is>
      </c>
      <c r="J34" s="33" t="inlineStr"/>
    </row>
    <row r="35" ht="48" customHeight="1">
      <c r="A35" s="32" t="n">
        <v>33</v>
      </c>
      <c r="B35" s="32" t="inlineStr">
        <is>
          <t>6月</t>
        </is>
      </c>
      <c r="C35" s="32" t="inlineStr">
        <is>
          <t>単元</t>
        </is>
      </c>
      <c r="D35" s="33" t="inlineStr">
        <is>
          <t>単元３　江戸幕府の功罪</t>
        </is>
      </c>
      <c r="E35" s="32" t="n">
        <v>10</v>
      </c>
      <c r="F35" s="33" t="inlineStr">
        <is>
          <t>農業と諸産業の発達</t>
        </is>
      </c>
      <c r="G35" s="33" t="inlineStr">
        <is>
          <t>新田開発，農具・肥料の改良，鉱山・水産業・特産物の生産を調べ，生産力の向上が村や幕府財政に与えた影響を考察する。</t>
        </is>
      </c>
      <c r="H35" s="32" t="inlineStr">
        <is>
          <t>知　思</t>
        </is>
      </c>
      <c r="I35" s="33" t="inlineStr">
        <is>
          <t>指導案 ６〜10時</t>
        </is>
      </c>
      <c r="J35" s="33" t="inlineStr"/>
    </row>
    <row r="36" ht="48" customHeight="1">
      <c r="A36" s="32" t="n">
        <v>34</v>
      </c>
      <c r="B36" s="32" t="inlineStr">
        <is>
          <t>7月</t>
        </is>
      </c>
      <c r="C36" s="32" t="inlineStr">
        <is>
          <t>単元</t>
        </is>
      </c>
      <c r="D36" s="33" t="inlineStr">
        <is>
          <t>単元３　江戸幕府の功罪</t>
        </is>
      </c>
      <c r="E36" s="32" t="n">
        <v>11</v>
      </c>
      <c r="F36" s="33" t="inlineStr">
        <is>
          <t>交通網の整備と三都の繁栄 ─ 商業の発達</t>
        </is>
      </c>
      <c r="G36" s="33" t="inlineStr">
        <is>
          <t>五街道・海運の整備と江戸・大阪・京都の様子を資料から読み取り，商業の発達と貨幣経済の広がりを考察する。</t>
        </is>
      </c>
      <c r="H36" s="32" t="inlineStr">
        <is>
          <t>知　思</t>
        </is>
      </c>
      <c r="I36" s="33" t="inlineStr">
        <is>
          <t>指導案 ６〜10時</t>
        </is>
      </c>
      <c r="J36" s="33" t="inlineStr"/>
    </row>
    <row r="37" ht="48" customHeight="1">
      <c r="A37" s="32" t="n">
        <v>35</v>
      </c>
      <c r="B37" s="32" t="inlineStr">
        <is>
          <t>7月</t>
        </is>
      </c>
      <c r="C37" s="32" t="inlineStr">
        <is>
          <t>単元</t>
        </is>
      </c>
      <c r="D37" s="33" t="inlineStr">
        <is>
          <t>単元３　江戸幕府の功罪</t>
        </is>
      </c>
      <c r="E37" s="32" t="n">
        <v>12</v>
      </c>
      <c r="F37" s="33" t="inlineStr">
        <is>
          <t>元禄文化</t>
        </is>
      </c>
      <c r="G37" s="33" t="inlineStr">
        <is>
          <t>上方の町人を担い手とする元禄文化の作品を鑑賞し，経済の発展と文化の特色を関連付けて説明する。</t>
        </is>
      </c>
      <c r="H37" s="32" t="inlineStr">
        <is>
          <t>知　思</t>
        </is>
      </c>
      <c r="I37" s="33" t="inlineStr">
        <is>
          <t>指導案 ６〜10時</t>
        </is>
      </c>
      <c r="J37" s="33" t="inlineStr"/>
    </row>
    <row r="38" ht="48" customHeight="1">
      <c r="A38" s="32" t="n">
        <v>36</v>
      </c>
      <c r="B38" s="32" t="inlineStr">
        <is>
          <t>7月</t>
        </is>
      </c>
      <c r="C38" s="32" t="inlineStr">
        <is>
          <t>単元</t>
        </is>
      </c>
      <c r="D38" s="33" t="inlineStr">
        <is>
          <t>単元３　江戸幕府の功罪</t>
        </is>
      </c>
      <c r="E38" s="32" t="n">
        <v>13</v>
      </c>
      <c r="F38" s="33" t="inlineStr">
        <is>
          <t>享保の改革</t>
        </is>
      </c>
      <c r="G38" s="33" t="inlineStr">
        <is>
          <t>徳川吉宗の政策（上げ米・目安箱・公事方御定書）を調べ，改革のねらいと結果を成果・課題の両面から考察する。</t>
        </is>
      </c>
      <c r="H38" s="32" t="inlineStr">
        <is>
          <t>知　思</t>
        </is>
      </c>
      <c r="I38" s="33" t="inlineStr">
        <is>
          <t>指導案 ６〜10時</t>
        </is>
      </c>
      <c r="J38" s="33" t="inlineStr"/>
    </row>
    <row r="39" ht="48" customHeight="1">
      <c r="A39" s="32" t="n">
        <v>37</v>
      </c>
      <c r="B39" s="32" t="inlineStr">
        <is>
          <t>7月</t>
        </is>
      </c>
      <c r="C39" s="32" t="inlineStr">
        <is>
          <t>単元</t>
        </is>
      </c>
      <c r="D39" s="33" t="inlineStr">
        <is>
          <t>単元３　江戸幕府の功罪</t>
        </is>
      </c>
      <c r="E39" s="32" t="n">
        <v>14</v>
      </c>
      <c r="F39" s="33" t="inlineStr">
        <is>
          <t>田沼意次の政治と寛政の改革</t>
        </is>
      </c>
      <c r="G39" s="33" t="inlineStr">
        <is>
          <t>商業を重視した田沼の政策と，松平定信の寛政の改革を比較し，評価が分かれる理由と人々に与えた影響を多面的に考察する。</t>
        </is>
      </c>
      <c r="H39" s="32" t="inlineStr">
        <is>
          <t>思　態</t>
        </is>
      </c>
      <c r="I39" s="33" t="inlineStr">
        <is>
          <t>指導案 ６〜10時</t>
        </is>
      </c>
      <c r="J39" s="33" t="inlineStr"/>
    </row>
    <row r="40" ht="48" customHeight="1">
      <c r="A40" s="32" t="n">
        <v>38</v>
      </c>
      <c r="B40" s="32" t="inlineStr">
        <is>
          <t>7月</t>
        </is>
      </c>
      <c r="C40" s="32" t="inlineStr">
        <is>
          <t>単元</t>
        </is>
      </c>
      <c r="D40" s="33" t="inlineStr">
        <is>
          <t>単元３　江戸幕府の功罪</t>
        </is>
      </c>
      <c r="E40" s="32" t="n">
        <v>15</v>
      </c>
      <c r="F40" s="33" t="inlineStr">
        <is>
          <t>化政文化と新しい学問の広がり</t>
        </is>
      </c>
      <c r="G40" s="33" t="inlineStr">
        <is>
          <t>化政文化，国学・蘭学，寺子屋の広がりを調べ，学問や教育の広がりが人々の考え方に与えた影響を考察する。</t>
        </is>
      </c>
      <c r="H40" s="32" t="inlineStr">
        <is>
          <t>知　思</t>
        </is>
      </c>
      <c r="I40" s="33" t="inlineStr">
        <is>
          <t>指導案 ６〜10時</t>
        </is>
      </c>
      <c r="J40" s="33" t="inlineStr"/>
    </row>
    <row r="41" ht="48" customHeight="1">
      <c r="A41" s="32" t="n">
        <v>39</v>
      </c>
      <c r="B41" s="32" t="inlineStr">
        <is>
          <t>7月</t>
        </is>
      </c>
      <c r="C41" s="32" t="inlineStr">
        <is>
          <t>単元</t>
        </is>
      </c>
      <c r="D41" s="33" t="inlineStr">
        <is>
          <t>単元３　江戸幕府の功罪</t>
        </is>
      </c>
      <c r="E41" s="32" t="n">
        <v>16</v>
      </c>
      <c r="F41" s="33" t="inlineStr">
        <is>
          <t>社会の動揺と幕府の対応 ─ 中期・後期の功罪の立場形成</t>
        </is>
      </c>
      <c r="G41" s="33" t="inlineStr">
        <is>
          <t>百姓一揆・打ちこわし，天保の改革，外国船の接近を整理する。中期・後期の江戸幕府の功罪に着目し，根拠を基に自らの立場を形成する。</t>
        </is>
      </c>
      <c r="H41" s="32" t="inlineStr">
        <is>
          <t>思　態</t>
        </is>
      </c>
      <c r="I41" s="33" t="inlineStr">
        <is>
          <t>指導案 ６〜10時</t>
        </is>
      </c>
      <c r="J41" s="33" t="inlineStr"/>
    </row>
    <row r="42" ht="48" customHeight="1">
      <c r="A42" s="32" t="n">
        <v>40</v>
      </c>
      <c r="B42" s="32" t="inlineStr">
        <is>
          <t>7月</t>
        </is>
      </c>
      <c r="C42" s="32" t="inlineStr">
        <is>
          <t>単元</t>
        </is>
      </c>
      <c r="D42" s="33" t="inlineStr">
        <is>
          <t>単元３　江戸幕府の功罪</t>
        </is>
      </c>
      <c r="E42" s="32" t="n">
        <v>17</v>
      </c>
      <c r="F42" s="33" t="inlineStr">
        <is>
          <t>江戸幕府の功罪の整理 ─ 共通性と差異に着目して</t>
        </is>
      </c>
      <c r="G42" s="33" t="inlineStr">
        <is>
          <t>前期と中期・後期の判断を並べ，共通性と差異に着目しながら，江戸時代を通しての考えを出し合う。</t>
        </is>
      </c>
      <c r="H42" s="32" t="inlineStr">
        <is>
          <t>思　態</t>
        </is>
      </c>
      <c r="I42" s="33" t="inlineStr">
        <is>
          <t>指導案 11時</t>
        </is>
      </c>
      <c r="J42" s="33" t="inlineStr"/>
    </row>
    <row r="43" ht="48" customHeight="1">
      <c r="A43" s="32" t="n">
        <v>41</v>
      </c>
      <c r="B43" s="32" t="inlineStr">
        <is>
          <t>7月</t>
        </is>
      </c>
      <c r="C43" s="32" t="inlineStr">
        <is>
          <t>単元</t>
        </is>
      </c>
      <c r="D43" s="33" t="inlineStr">
        <is>
          <t>単元３　江戸幕府の功罪</t>
        </is>
      </c>
      <c r="E43" s="32" t="n">
        <v>18</v>
      </c>
      <c r="F43" s="33" t="inlineStr">
        <is>
          <t>「江戸時代から，私たちは『よりよい社会』について何を学べるのだろう」〔工夫①〕</t>
        </is>
      </c>
      <c r="G43" s="33" t="inlineStr">
        <is>
          <t>江戸時代を学んだことを通して，「よりよい社会」にとって何が大切かを価値判断する。自他の考えを交流して立場を再検討し，単元シートにまとめて発表する。</t>
        </is>
      </c>
      <c r="H43" s="32" t="inlineStr">
        <is>
          <t>思　態</t>
        </is>
      </c>
      <c r="I43" s="33" t="inlineStr">
        <is>
          <t>指導案 11時</t>
        </is>
      </c>
      <c r="J43" s="33" t="inlineStr"/>
    </row>
    <row r="44" ht="48" customHeight="1">
      <c r="A44" s="32" t="n">
        <v>42</v>
      </c>
      <c r="B44" s="32" t="inlineStr">
        <is>
          <t>7月</t>
        </is>
      </c>
      <c r="C44" s="32" t="inlineStr">
        <is>
          <t>単元</t>
        </is>
      </c>
      <c r="D44" s="33" t="inlineStr">
        <is>
          <t>単元３　江戸幕府の功罪</t>
        </is>
      </c>
      <c r="E44" s="32" t="n">
        <v>19</v>
      </c>
      <c r="F44" s="33" t="inlineStr">
        <is>
          <t>単元の振り返り</t>
        </is>
      </c>
      <c r="G44" s="33" t="inlineStr">
        <is>
          <t>単元の課題に対する初発の考えと最終的な考えを比べ，見方・考え方の変容を振り返って自己評価する。</t>
        </is>
      </c>
      <c r="H44" s="32" t="inlineStr">
        <is>
          <t>態</t>
        </is>
      </c>
      <c r="I44" s="33" t="inlineStr">
        <is>
          <t>－</t>
        </is>
      </c>
      <c r="J44" s="33" t="inlineStr">
        <is>
          <t>各単元１時間ずつ設定</t>
        </is>
      </c>
    </row>
    <row r="45" ht="48" customHeight="1">
      <c r="A45" s="32" t="n">
        <v>43</v>
      </c>
      <c r="B45" s="32" t="inlineStr">
        <is>
          <t>7月</t>
        </is>
      </c>
      <c r="C45" s="32" t="inlineStr">
        <is>
          <t>単元</t>
        </is>
      </c>
      <c r="D45" s="33" t="inlineStr">
        <is>
          <t>単元３　江戸幕府の功罪</t>
        </is>
      </c>
      <c r="E45" s="32" t="n">
        <v>20</v>
      </c>
      <c r="F45" s="33" t="inlineStr">
        <is>
          <t>単元テスト</t>
        </is>
      </c>
      <c r="G45" s="33" t="inlineStr">
        <is>
          <t>単元３の学習内容について，知識・技能および江戸幕府の功罪に関する多面的・多角的な考察・表現をみる。</t>
        </is>
      </c>
      <c r="H45" s="32" t="inlineStr">
        <is>
          <t>知　思</t>
        </is>
      </c>
      <c r="I45" s="33" t="inlineStr">
        <is>
          <t>－</t>
        </is>
      </c>
      <c r="J45" s="33" t="inlineStr">
        <is>
          <t>各単元１時間ずつ設定</t>
        </is>
      </c>
    </row>
    <row r="46" ht="24" customHeight="1">
      <c r="A46" s="20" t="n"/>
      <c r="B46" s="20" t="n"/>
      <c r="C46" s="20" t="n"/>
      <c r="D46" s="20" t="inlineStr">
        <is>
          <t>合　計　時　数</t>
        </is>
      </c>
      <c r="E46" s="20">
        <f>COUNTA(A3:A45)</f>
        <v>43</v>
      </c>
      <c r="F46" s="37" t="inlineStr">
        <is>
          <t>オリエン 3　＋　単元１ 8　＋　単元２ 10　＋　単元３ 20　＋　テスト 2</t>
        </is>
      </c>
      <c r="G46" s="20" t="n"/>
      <c r="H46" s="20" t="n"/>
      <c r="I46" s="20" t="n"/>
      <c r="J46" s="20" t="n"/>
    </row>
  </sheetData>
  <autoFilter ref="A2:J45"/>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6" customWidth="1" min="1" max="1"/>
    <col width="30" customWidth="1" min="2" max="2"/>
    <col width="8" customWidth="1" min="3" max="3"/>
    <col width="12" customWidth="1" min="4" max="4"/>
    <col width="46" customWidth="1" min="5" max="5"/>
    <col width="30" customWidth="1" min="6" max="6"/>
    <col width="14" customWidth="1" min="7" max="7"/>
  </cols>
  <sheetData>
    <row r="1">
      <c r="A1" s="23" t="inlineStr">
        <is>
          <t>テスト一覧</t>
        </is>
      </c>
    </row>
    <row r="2">
      <c r="A2" s="38" t="inlineStr">
        <is>
          <t>①単元に含まないテスト（学力テスト・定着度診断テスト）　②各単元に位置付けたテスト・振り返り</t>
        </is>
      </c>
    </row>
    <row r="4">
      <c r="A4" s="21" t="inlineStr">
        <is>
          <t>①　単元外のテスト</t>
        </is>
      </c>
    </row>
    <row r="5" ht="32" customHeight="1">
      <c r="A5" s="4" t="inlineStr">
        <is>
          <t>No.</t>
        </is>
      </c>
      <c r="B5" s="4" t="inlineStr">
        <is>
          <t>名称</t>
        </is>
      </c>
      <c r="C5" s="4" t="inlineStr">
        <is>
          <t>時数</t>
        </is>
      </c>
      <c r="D5" s="4" t="inlineStr">
        <is>
          <t>実施時期</t>
        </is>
      </c>
      <c r="E5" s="4" t="inlineStr">
        <is>
          <t>ねらい・内容</t>
        </is>
      </c>
      <c r="F5" s="4" t="inlineStr">
        <is>
          <t>評価との関わり</t>
        </is>
      </c>
      <c r="G5" s="4" t="inlineStr">
        <is>
          <t>通し時数</t>
        </is>
      </c>
    </row>
    <row r="6" ht="62" customHeight="1">
      <c r="A6" s="17" t="n">
        <v>1</v>
      </c>
      <c r="B6" s="19" t="inlineStr">
        <is>
          <t>学力テスト</t>
        </is>
      </c>
      <c r="C6" s="17" t="n">
        <v>1</v>
      </c>
      <c r="D6" s="17" t="inlineStr">
        <is>
          <t>4月</t>
        </is>
      </c>
      <c r="E6" s="19" t="inlineStr">
        <is>
          <t>年度当初に実施し，生徒の学力の実態を把握する。第１学年の既習事項の定着状況を確認し，本年度の学習の見通しをもたせる。</t>
        </is>
      </c>
      <c r="F6" s="19" t="inlineStr">
        <is>
          <t>【知識・技能】【思考・判断・表現】
単元の評価には含めず，指導の改善に用いる。</t>
        </is>
      </c>
      <c r="G6" s="17" t="inlineStr">
        <is>
          <t>第4時</t>
        </is>
      </c>
    </row>
    <row r="7" ht="62" customHeight="1">
      <c r="A7" s="17" t="n">
        <v>2</v>
      </c>
      <c r="B7" s="19" t="inlineStr">
        <is>
          <t>定着度診断テスト</t>
        </is>
      </c>
      <c r="C7" s="17" t="n">
        <v>1</v>
      </c>
      <c r="D7" s="17" t="inlineStr">
        <is>
          <t>6月</t>
        </is>
      </c>
      <c r="E7" s="19" t="inlineStr">
        <is>
          <t>単元２までの学習の定着度を診断する。誤答の傾向を分析し，単元３「江戸幕府の功罪」の指導計画に生かす。</t>
        </is>
      </c>
      <c r="F7" s="19" t="inlineStr">
        <is>
          <t>【知識・技能】【思考・判断・表現】
単元の評価には含めず，指導の改善に用いる。</t>
        </is>
      </c>
      <c r="G7" s="17" t="inlineStr">
        <is>
          <t>第23時</t>
        </is>
      </c>
    </row>
    <row r="8">
      <c r="A8" s="39" t="n"/>
      <c r="B8" s="39" t="inlineStr">
        <is>
          <t>小　計</t>
        </is>
      </c>
      <c r="C8" s="39">
        <f>SUM(C6:C7)</f>
        <v>2</v>
      </c>
      <c r="D8" s="39" t="n"/>
      <c r="E8" s="39" t="n"/>
      <c r="F8" s="39" t="n"/>
      <c r="G8" s="39" t="n"/>
    </row>
    <row r="10">
      <c r="A10" s="21" t="inlineStr">
        <is>
          <t>②　各単元に位置付けたテスト・振り返り（各単元１時間ずつ）</t>
        </is>
      </c>
    </row>
    <row r="11" ht="32" customHeight="1">
      <c r="A11" s="4" t="inlineStr">
        <is>
          <t>No.</t>
        </is>
      </c>
      <c r="B11" s="4" t="inlineStr">
        <is>
          <t>単元名</t>
        </is>
      </c>
      <c r="C11" s="4" t="inlineStr">
        <is>
          <t>時数</t>
        </is>
      </c>
      <c r="D11" s="4" t="inlineStr">
        <is>
          <t>実施時期</t>
        </is>
      </c>
      <c r="E11" s="4" t="inlineStr">
        <is>
          <t>ねらい・内容</t>
        </is>
      </c>
      <c r="F11" s="4" t="inlineStr">
        <is>
          <t>評価との関わり</t>
        </is>
      </c>
      <c r="G11" s="4" t="inlineStr">
        <is>
          <t>通し時数</t>
        </is>
      </c>
    </row>
    <row r="12" ht="50" customHeight="1">
      <c r="A12" s="8" t="n">
        <v>1</v>
      </c>
      <c r="B12" s="10" t="inlineStr">
        <is>
          <t>単元１　身近な地域の調査　振り返り</t>
        </is>
      </c>
      <c r="C12" s="8" t="n">
        <v>1</v>
      </c>
      <c r="D12" s="8" t="inlineStr">
        <is>
          <t>5月</t>
        </is>
      </c>
      <c r="E12" s="10" t="inlineStr">
        <is>
          <t>単元の課題に対する自分の考えの変化を単元シートに書き，交流する。学習の成果と課題を自己評価する。</t>
        </is>
      </c>
      <c r="F12" s="10" t="inlineStr">
        <is>
          <t>【主体的に学習に取り組む態度】
単元シートの記述で評価する。</t>
        </is>
      </c>
      <c r="G12" s="8" t="inlineStr">
        <is>
          <t>第11時</t>
        </is>
      </c>
    </row>
    <row r="13" ht="50" customHeight="1">
      <c r="A13" s="8" t="n">
        <v>2</v>
      </c>
      <c r="B13" s="10" t="inlineStr">
        <is>
          <t>単元１　身近な地域の調査　単元テスト</t>
        </is>
      </c>
      <c r="C13" s="8" t="n">
        <v>1</v>
      </c>
      <c r="D13" s="8" t="inlineStr">
        <is>
          <t>5月</t>
        </is>
      </c>
      <c r="E13" s="10" t="inlineStr">
        <is>
          <t>単元１の学習内容について，知識・技能および多面的・多角的な考察・表現をみる。</t>
        </is>
      </c>
      <c r="F13" s="10" t="inlineStr">
        <is>
          <t>【知識・技能】【思考・判断・表現】</t>
        </is>
      </c>
      <c r="G13" s="8" t="inlineStr">
        <is>
          <t>第12時</t>
        </is>
      </c>
    </row>
    <row r="14" ht="50" customHeight="1">
      <c r="A14" s="11" t="n">
        <v>3</v>
      </c>
      <c r="B14" s="13" t="inlineStr">
        <is>
          <t>単元２　ヨーロッパ人との出会いと全国統一　振り返り</t>
        </is>
      </c>
      <c r="C14" s="11" t="n">
        <v>1</v>
      </c>
      <c r="D14" s="11" t="inlineStr">
        <is>
          <t>5月</t>
        </is>
      </c>
      <c r="E14" s="13" t="inlineStr">
        <is>
          <t>単元の課題に対する自分の考えの変化を単元シートに書き，交流する。学習の成果と課題を自己評価する。</t>
        </is>
      </c>
      <c r="F14" s="13" t="inlineStr">
        <is>
          <t>【主体的に学習に取り組む態度】
単元シートの記述で評価する。</t>
        </is>
      </c>
      <c r="G14" s="11" t="inlineStr">
        <is>
          <t>第21時</t>
        </is>
      </c>
    </row>
    <row r="15" ht="50" customHeight="1">
      <c r="A15" s="11" t="n">
        <v>4</v>
      </c>
      <c r="B15" s="13" t="inlineStr">
        <is>
          <t>単元２　ヨーロッパ人との出会いと全国統一　単元テスト</t>
        </is>
      </c>
      <c r="C15" s="11" t="n">
        <v>1</v>
      </c>
      <c r="D15" s="11" t="inlineStr">
        <is>
          <t>5月</t>
        </is>
      </c>
      <c r="E15" s="13" t="inlineStr">
        <is>
          <t>単元２の学習内容について，知識・技能および多面的・多角的な考察・表現をみる。</t>
        </is>
      </c>
      <c r="F15" s="13" t="inlineStr">
        <is>
          <t>【知識・技能】【思考・判断・表現】</t>
        </is>
      </c>
      <c r="G15" s="11" t="inlineStr">
        <is>
          <t>第22時</t>
        </is>
      </c>
    </row>
    <row r="16" ht="50" customHeight="1">
      <c r="A16" s="14" t="n">
        <v>5</v>
      </c>
      <c r="B16" s="16" t="inlineStr">
        <is>
          <t>単元３　江戸幕府の功罪　振り返り</t>
        </is>
      </c>
      <c r="C16" s="14" t="n">
        <v>1</v>
      </c>
      <c r="D16" s="14" t="inlineStr">
        <is>
          <t>7月</t>
        </is>
      </c>
      <c r="E16" s="16" t="inlineStr">
        <is>
          <t>単元の課題に対する自分の考えの変化を単元シートに書き，交流する。学習の成果と課題を自己評価する。</t>
        </is>
      </c>
      <c r="F16" s="16" t="inlineStr">
        <is>
          <t>【主体的に学習に取り組む態度】
単元シートの記述で評価する。</t>
        </is>
      </c>
      <c r="G16" s="14" t="inlineStr">
        <is>
          <t>第42時</t>
        </is>
      </c>
    </row>
    <row r="17" ht="50" customHeight="1">
      <c r="A17" s="14" t="n">
        <v>6</v>
      </c>
      <c r="B17" s="16" t="inlineStr">
        <is>
          <t>単元３　江戸幕府の功罪　単元テスト</t>
        </is>
      </c>
      <c r="C17" s="14" t="n">
        <v>1</v>
      </c>
      <c r="D17" s="14" t="inlineStr">
        <is>
          <t>7月</t>
        </is>
      </c>
      <c r="E17" s="16" t="inlineStr">
        <is>
          <t>単元３の学習内容について，知識・技能および多面的・多角的な考察・表現をみる。</t>
        </is>
      </c>
      <c r="F17" s="16" t="inlineStr">
        <is>
          <t>【知識・技能】【思考・判断・表現】</t>
        </is>
      </c>
      <c r="G17" s="14" t="inlineStr">
        <is>
          <t>第43時</t>
        </is>
      </c>
    </row>
    <row r="18">
      <c r="A18" s="39" t="n"/>
      <c r="B18" s="39" t="inlineStr">
        <is>
          <t>小　計</t>
        </is>
      </c>
      <c r="C18" s="39">
        <f>SUM(C12:C17)</f>
        <v>6</v>
      </c>
      <c r="D18" s="39" t="n"/>
      <c r="E18" s="39" t="n"/>
      <c r="F18" s="39" t="n"/>
      <c r="G18" s="39" t="n"/>
    </row>
    <row r="20">
      <c r="B20" s="20" t="inlineStr">
        <is>
          <t>テスト・振り返り　合計</t>
        </is>
      </c>
      <c r="C20" s="20">
        <f>C8+C18</f>
        <v>8</v>
      </c>
    </row>
    <row r="21">
      <c r="B21" s="38" t="inlineStr">
        <is>
          <t>（８時間すべて，43時間の中に計上している）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 customWidth="1" min="1" max="1"/>
    <col width="54" customWidth="1" min="2" max="2"/>
    <col width="40" customWidth="1" min="3" max="3"/>
    <col width="46" customWidth="1" min="4" max="4"/>
  </cols>
  <sheetData>
    <row r="1">
      <c r="A1" s="23" t="inlineStr">
        <is>
          <t>６　本時の学習　─　単元３「江戸幕府の功罪」（学習指導案　４／11　＝　本計画　単元内第7時／通し第30時）</t>
        </is>
      </c>
    </row>
    <row r="2">
      <c r="A2" s="2" t="inlineStr">
        <is>
          <t>日時　令和８年６月12日（金）　／　場所　２年Ａ組教室　／　生徒　第２学年Ａ組33名　／　指導者　吉田　雅風</t>
        </is>
      </c>
    </row>
    <row r="4">
      <c r="A4" s="21" t="inlineStr">
        <is>
          <t>（１）本時の目標</t>
        </is>
      </c>
    </row>
    <row r="5" ht="28" customHeight="1">
      <c r="A5" s="22" t="inlineStr">
        <is>
          <t>江戸時代初期（草創期〜寛永期）における幕府の政策と社会の変化との関係について多面的・多角的に考察し，表現することができる。</t>
        </is>
      </c>
    </row>
    <row r="7">
      <c r="A7" s="21" t="inlineStr">
        <is>
          <t>（２）展開</t>
        </is>
      </c>
    </row>
    <row r="8" ht="32" customHeight="1">
      <c r="A8" s="4" t="inlineStr">
        <is>
          <t>段階</t>
        </is>
      </c>
      <c r="B8" s="4" t="inlineStr">
        <is>
          <t>教師の働きかけ</t>
        </is>
      </c>
      <c r="C8" s="4" t="inlineStr">
        <is>
          <t>学習活動</t>
        </is>
      </c>
      <c r="D8" s="4" t="inlineStr">
        <is>
          <t>・留意点</t>
        </is>
      </c>
    </row>
    <row r="9" ht="190" customHeight="1">
      <c r="A9" s="32" t="inlineStr">
        <is>
          <t>導入</t>
        </is>
      </c>
      <c r="B9" s="33" t="inlineStr">
        <is>
          <t>〇江戸時代の通説を提示する。
【江戸時代の通説】日本大百科全書・世界大百科事典では，江戸時代について「泰平の世」という表現が用いられ，265年間続いた高度な統一政権として説明されている。
○問題を提示する。
【問題】江戸時代初期は本当に「泰平」の時代と言えるか。
〔予想される生徒の反応〕
・戦国時代みたいな大きな戦争がないなら，「泰平」と言えるのではないか。
・でも，コントロールされていた時代だから，「泰平」とは言えないかもしれない。</t>
        </is>
      </c>
      <c r="C9" s="33" t="inlineStr"/>
      <c r="D9" s="33" t="inlineStr">
        <is>
          <t>・これまでの学習を想起しながら問題提示をする。
・泰平は「国家が安定している状態」とする。
・多様な価値判断を認める。
〔工夫①〕価値判断をせまる問い
・幕府政治の成果を「安定」と「統制」の両面から捉えさせることで，多面的・多角的な価値判断につなげる。</t>
        </is>
      </c>
    </row>
    <row r="10" ht="190" customHeight="1">
      <c r="A10" s="32" t="inlineStr">
        <is>
          <t>展開</t>
        </is>
      </c>
      <c r="B10" s="33" t="inlineStr">
        <is>
          <t>【課題】江戸時代初期はどのような時代か，立場に合わせて分析しよう。
○生徒の発言を本時の課題につなげる。
○個人追究の結果のうち，この時期の幕府政治の成果について交流させる。
〔予想される生徒の反応〕
・幕藩体制や武家諸法度等によって反乱を防ぎ，全国を安定して支配した。
・外国との関わりや身分制度を統制し，幕府中心の秩序を維持した。
・戦乱を防ぎ，長期的な安定につながった。
・戦争や大きな反乱が少なく，「泰平」と呼ばれる時代だった。
・一方で，その背景には強い統制や身分制度も存在していた。</t>
        </is>
      </c>
      <c r="C10" s="33" t="inlineStr">
        <is>
          <t>○本時の課題を立ち上げる。
○個人追究の結果のうち，この時期の幕府政治の成果について発表する。</t>
        </is>
      </c>
      <c r="D10" s="33" t="inlineStr">
        <is>
          <t>・生徒とのやりとりを通して，江戸時代初期がどのような時代かを考える必要があることを共有する。</t>
        </is>
      </c>
    </row>
    <row r="11" ht="190" customHeight="1">
      <c r="A11" s="32" t="inlineStr"/>
      <c r="B11" s="33" t="inlineStr">
        <is>
          <t>〇各班の交流を踏まえ，学習内容を深める発問をする。
【発問】あなたが「江戸時代の通説」を考えるなら，どのような説明文になるだろうか。
〔予想される生徒の反応〕
・戦争や大きな反乱が少ないので，「泰平」と言えると思う。
・一方で，身分制度や厳しい統制があり，本当に自由な時代とは言えない。
・「泰平」と「平和」は違う。</t>
        </is>
      </c>
      <c r="C11" s="33" t="inlineStr">
        <is>
          <t>〇各班から出された考えを比較し，考えを深める。</t>
        </is>
      </c>
      <c r="D11" s="33" t="inlineStr">
        <is>
          <t>・価値観を明確化し，深く思考することをねらうため，200文字以内にまとめる。</t>
        </is>
      </c>
    </row>
    <row r="12" ht="190" customHeight="1">
      <c r="A12" s="32" t="inlineStr">
        <is>
          <t>整理</t>
        </is>
      </c>
      <c r="B12" s="33" t="inlineStr">
        <is>
          <t>○課題に対する答えを考え，単元シートに記入し，発表させる。
〔予想される生徒のまとめ〕
・江戸時代初期は，幕府の政策によって戦乱のない安定した社会を実現した点では「泰平」と言える。しかし，その背景には厳しい統制や身分制度も存在しており，一面的に「泰平」とは言い切れない。
・江戸時代初期は，社会の安定を実現した点では「泰平」と言える。しかし，安定と自由のどちらを重視するかによって評価は変わるため，多面的に捉える必要がある。
○本時の振り返りを書かせる。
〔予想される生徒の振り返り〕
最初は，「泰平」は平和でよい時代だと思っていた。しかし，学習を通して，その背景には統制や制約もあったことが分かった。</t>
        </is>
      </c>
      <c r="C12" s="33" t="inlineStr">
        <is>
          <t>○課題に対する答えを考え，単元シートに書き，発表する。
〇今日の学習を通して，「泰平」という言葉の見方はどのように変わったか振り返る。</t>
        </is>
      </c>
      <c r="D12" s="33" t="inlineStr">
        <is>
          <t>・幕府政治の成果と制約の両面を踏まえ，自分なりの立場を形成できるようにする。
【評価】自他の追究内容をもとに，「泰平」を実現した幕府の支配について，社会の安定と人々への制約を関連付けながら，多面的・多角的に考察し，表現している。（思，単元シート）</t>
        </is>
      </c>
    </row>
  </sheetData>
  <mergeCells count="3">
    <mergeCell ref="A1:D1"/>
    <mergeCell ref="A5:D5"/>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 customWidth="1" min="1" max="1"/>
    <col width="100" customWidth="1" min="2" max="2"/>
  </cols>
  <sheetData>
    <row r="1">
      <c r="A1" s="23" t="inlineStr">
        <is>
          <t>凡例・注記</t>
        </is>
      </c>
    </row>
    <row r="3" ht="32" customHeight="1">
      <c r="B3" s="40" t="inlineStr">
        <is>
          <t>【時数】「授業一覧」シートの１行＝１単位時間。通し時数１〜43が令和８年度４月〜７月に実施した全43時間にあたる。</t>
        </is>
      </c>
    </row>
    <row r="4" ht="32" customHeight="1">
      <c r="B4" s="40" t="inlineStr">
        <is>
          <t>【内訳】オリエンテーション３時間　＋　単元１ ８時間　＋　単元２ 10時間　＋　単元３ 20時間　＋　単元外テスト２時間　＝　43時間。</t>
        </is>
      </c>
    </row>
    <row r="5" ht="32" customHeight="1">
      <c r="B5" s="40" t="inlineStr">
        <is>
          <t>【オリエンテーション】年度当初に３時間。単元には含まないが，実施時数には計上している（通し第１〜３時）。</t>
        </is>
      </c>
    </row>
    <row r="6" ht="32" customHeight="1">
      <c r="B6" s="40" t="inlineStr">
        <is>
          <t>【単元１ 身近な地域の調査】調査６時間に，振り返り１時間・単元テスト１時間を加えた計８時間（通し第５〜12時）。</t>
        </is>
      </c>
    </row>
    <row r="7" ht="32" customHeight="1">
      <c r="B7" s="40" t="inlineStr">
        <is>
          <t>【単元テスト・振り返り】各単元に単元テスト１時間・振り返り１時間を位置付けた。振り返りが不要であれば，その３時間を各単元の学習時間に振り替えて調整できる。</t>
        </is>
      </c>
    </row>
    <row r="8" ht="32" customHeight="1">
      <c r="B8" s="40" t="inlineStr">
        <is>
          <t>【学力テスト・定着度診断テスト】単元の指導計画には含まないが，実施時数としては43時間に計上している。</t>
        </is>
      </c>
    </row>
    <row r="9" ht="32" customHeight="1">
      <c r="B9" s="40" t="inlineStr">
        <is>
          <t>【評価の観点】知＝知識・技能，思＝思考・判断・表現，態＝主体的に学習に取り組む態度。</t>
        </is>
      </c>
    </row>
    <row r="10" ht="32" customHeight="1">
      <c r="B10" s="40" t="inlineStr">
        <is>
          <t>【色分け】緑系＝オリエンテーション／単元１，青系＝単元２，橙系＝単元３，紫系＝単元外のテスト，黄＝本時（研究授業）。</t>
        </is>
      </c>
    </row>
    <row r="11" ht="32" customHeight="1">
      <c r="B11" s="40" t="inlineStr">
        <is>
          <t>【単元３の時数について】学習指導案「江戸幕府の功罪」は全11時間で構想したが，実際には各時の内容を２〜３時間に分けて指導したため，実施時数は20時間（学習18時間＋振り返り１＋単元テスト１，通し第24〜43時）。「指導案との対応」列に，指導案の何時にあたるかを示した。</t>
        </is>
      </c>
    </row>
    <row r="12" ht="32" customHeight="1">
      <c r="B12" s="40" t="inlineStr">
        <is>
          <t xml:space="preserve">　　・指導案 １時（教科書の通読・単元の課題）　→　本計画　単元内１〜２時</t>
        </is>
      </c>
    </row>
    <row r="13" ht="32" customHeight="1">
      <c r="B13" s="40" t="inlineStr">
        <is>
          <t xml:space="preserve">　　・指導案 ２〜５時（前期「泰平」）　→　本計画　単元内３〜８時　※本時＝指導案４時＝単元内第7時＝通し第30時</t>
        </is>
      </c>
    </row>
    <row r="14" ht="32" customHeight="1">
      <c r="B14" s="40" t="inlineStr">
        <is>
          <t xml:space="preserve">　　・指導案 ６〜10時（中期・後期「崩壊」）　→　本計画　単元内９〜16時</t>
        </is>
      </c>
    </row>
    <row r="15" ht="32" customHeight="1">
      <c r="B15" s="40" t="inlineStr">
        <is>
          <t xml:space="preserve">　　・指導案 11時（まとめ「よりよい社会」）　→　本計画　単元内17〜18時</t>
        </is>
      </c>
    </row>
    <row r="16" ht="32" customHeight="1">
      <c r="B16" s="40" t="inlineStr">
        <is>
          <t>【出典】単元３の目標・評価規準・指導の工夫・本時の展開は，指導者から提供された学習指導案「江戸幕府の功罪」（令和８年６月12日実施）に基づく。</t>
        </is>
      </c>
    </row>
    <row r="17" ht="32" customHeight="1">
      <c r="B17" s="40" t="inlineStr">
        <is>
          <t>【出典】単元１・単元２の各時の学習内容は，中学校学習指導要領（平成29年告示）社会科（地理的分野「地域調査の手法」「地域の在り方」，歴史的分野Ｂ(3)「近世の日本」ア(ア)〜(エ)）に基づいて配列した。</t>
        </is>
      </c>
    </row>
    <row r="18" ht="32" customHeight="1">
      <c r="B18" s="40" t="inlineStr">
        <is>
          <t>【注記】オリエンテーション・単元１・単元２の各時の主題は，提供資料に該当箇所がないため作成した推定案である。実際の指導内容に合わせて修正されたい。</t>
        </is>
      </c>
    </row>
    <row r="19" ht="32" customHeight="1">
      <c r="B19" s="40" t="inlineStr">
        <is>
          <t>【注記】各時の「実施月」は，週３時間・４月上旬開始・本時を６月12日とする配当からの目安であり，実際の実施日ではない。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2026-08-17T05:32:34Z</dcterms:created>
  <dcterms:modified xsi:type="dcterms:W3CDTF">2026-08-17T05:32:34Z</dcterms:modified>
</cp:coreProperties>
</file>